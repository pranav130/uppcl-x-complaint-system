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itter Complaint List" sheetId="1" state="visible" r:id="rId1"/>
    <sheet name="Discom_District_List" sheetId="2" state="visible" r:id="rId2"/>
    <sheet name="Setting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erdana"/>
      <b val="1"/>
      <color rgb="001A2F40"/>
      <sz val="13"/>
    </font>
    <font>
      <name val="Verdana"/>
      <b val="1"/>
      <color rgb="001A2F40"/>
      <sz val="11"/>
    </font>
    <font>
      <name val="Verdana"/>
      <color rgb="001A2F40"/>
      <sz val="11"/>
    </font>
    <font>
      <name val="Times New Roman"/>
      <color rgb="001D9BF0"/>
      <sz val="11"/>
      <u val="single"/>
    </font>
    <font>
      <name val="Verdana"/>
      <b val="1"/>
      <color rgb="001A2F40"/>
      <sz val="14"/>
    </font>
  </fonts>
  <fills count="4">
    <fill>
      <patternFill/>
    </fill>
    <fill>
      <patternFill patternType="gray125"/>
    </fill>
    <fill>
      <patternFill patternType="solid">
        <fgColor rgb="004DD0E1"/>
        <bgColor rgb="004DD0E1"/>
      </patternFill>
    </fill>
    <fill>
      <patternFill patternType="solid">
        <fgColor rgb="0000ACC1"/>
        <bgColor rgb="0000ACC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1" fillId="2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8" customWidth="1" min="4" max="4"/>
    <col width="45" customWidth="1" min="5" max="5"/>
    <col width="20" customWidth="1" min="6" max="6"/>
    <col width="10" customWidth="1" min="7" max="7"/>
    <col width="20" customWidth="1" min="8" max="8"/>
    <col width="15" customWidth="1" min="9" max="9"/>
    <col width="26" customWidth="1" min="10" max="10"/>
    <col width="14" customWidth="1" min="11" max="11"/>
    <col width="20" customWidth="1" min="12" max="12"/>
    <col width="20" customWidth="1" min="13" max="13"/>
    <col width="30" customWidth="1" min="14" max="14"/>
    <col width="24" customWidth="1" min="15" max="15"/>
    <col width="18" customWidth="1" min="16" max="16"/>
    <col width="18" customWidth="1" min="17" max="17"/>
    <col width="18" customWidth="1" min="18" max="18"/>
    <col width="12" customWidth="1" min="19" max="19"/>
    <col width="25" customWidth="1" min="20" max="20"/>
    <col width="45" customWidth="1" min="21" max="21"/>
    <col width="24" customWidth="1" min="22" max="22"/>
    <col width="22" customWidth="1" min="23" max="23"/>
    <col width="12" customWidth="1" min="24" max="24"/>
    <col width="18" customWidth="1" min="25" max="25"/>
    <col width="45" customWidth="1" min="26" max="26"/>
    <col width="22" customWidth="1" min="27" max="27"/>
    <col width="22" customWidth="1" min="28" max="28"/>
    <col width="35" customWidth="1" min="29" max="29"/>
    <col width="24" customWidth="1" min="30" max="30"/>
    <col width="20" customWidth="1" min="31" max="31"/>
    <col width="25" customWidth="1" min="32" max="32"/>
  </cols>
  <sheetData>
    <row r="1" ht="66" customHeight="1">
      <c r="A1" s="1" t="inlineStr">
        <is>
          <t>DATE</t>
        </is>
      </c>
      <c r="B1" s="1" t="inlineStr">
        <is>
          <t>Link Shift</t>
        </is>
      </c>
      <c r="C1" s="1" t="inlineStr">
        <is>
          <t>Reply Shift</t>
        </is>
      </c>
      <c r="D1" s="1" t="inlineStr">
        <is>
          <t>C F</t>
        </is>
      </c>
      <c r="E1" s="1" t="inlineStr">
        <is>
          <t xml:space="preserve"> LINK URL</t>
        </is>
      </c>
      <c r="F1" s="1" t="inlineStr">
        <is>
          <t>Twitter Id</t>
        </is>
      </c>
      <c r="G1" s="1" t="inlineStr">
        <is>
          <t>Head</t>
        </is>
      </c>
      <c r="H1" s="1" t="inlineStr">
        <is>
          <t>Untagged Complaint</t>
        </is>
      </c>
      <c r="I1" s="1" t="inlineStr">
        <is>
          <t>Picked Status</t>
        </is>
      </c>
      <c r="J1" s="1" t="inlineStr">
        <is>
          <t>Complaint Type</t>
        </is>
      </c>
      <c r="K1" s="1" t="inlineStr">
        <is>
          <t>DISCOM</t>
        </is>
      </c>
      <c r="L1" s="1" t="inlineStr">
        <is>
          <t>Zone</t>
        </is>
      </c>
      <c r="M1" s="1" t="inlineStr">
        <is>
          <t>District</t>
        </is>
      </c>
      <c r="N1" s="1" t="inlineStr">
        <is>
          <t>Remark</t>
        </is>
      </c>
      <c r="O1" s="1" t="inlineStr">
        <is>
          <t>Status</t>
        </is>
      </c>
      <c r="P1" s="1" t="inlineStr">
        <is>
          <t>REPLY_WITHIN_30_MIN_BY_Laqshya Media</t>
        </is>
      </c>
      <c r="Q1" s="1" t="inlineStr">
        <is>
          <t>REPLY_WITHIN_60_MIN_BY_DISCOM</t>
        </is>
      </c>
      <c r="R1" s="1" t="inlineStr">
        <is>
          <t>COMPLAINT_NO</t>
        </is>
      </c>
      <c r="S1" s="1" t="inlineStr">
        <is>
          <t>STS</t>
        </is>
      </c>
      <c r="T1" s="2" t="inlineStr">
        <is>
          <t>Post ID</t>
        </is>
      </c>
      <c r="U1" s="2" t="inlineStr">
        <is>
          <t>Post Text</t>
        </is>
      </c>
      <c r="V1" s="2" t="inlineStr">
        <is>
          <t>Post Created At (UTC)</t>
        </is>
      </c>
      <c r="W1" s="2" t="inlineStr">
        <is>
          <t>First Detected At (IST)</t>
        </is>
      </c>
      <c r="X1" s="2" t="inlineStr">
        <is>
          <t>Language</t>
        </is>
      </c>
      <c r="Y1" s="2" t="inlineStr">
        <is>
          <t>Routing Confidence</t>
        </is>
      </c>
      <c r="Z1" s="2" t="inlineStr">
        <is>
          <t>Suggested Reply Draft</t>
        </is>
      </c>
      <c r="AA1" s="2" t="inlineStr">
        <is>
          <t>Reply Approval Status</t>
        </is>
      </c>
      <c r="AB1" s="2" t="inlineStr">
        <is>
          <t>Reply Post ID</t>
        </is>
      </c>
      <c r="AC1" s="2" t="inlineStr">
        <is>
          <t>Reply Post URL</t>
        </is>
      </c>
      <c r="AD1" s="2" t="inlineStr">
        <is>
          <t>Reply Posted At</t>
        </is>
      </c>
      <c r="AE1" s="2" t="inlineStr">
        <is>
          <t>Processing Status</t>
        </is>
      </c>
      <c r="AF1" s="2" t="inlineStr">
        <is>
          <t>Last Error</t>
        </is>
      </c>
    </row>
    <row r="2" ht="33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>
        <f>COUNTA(E3:E50)</f>
        <v/>
      </c>
      <c r="K2" s="3" t="n"/>
      <c r="L2" s="3" t="n"/>
      <c r="M2" s="3" t="n"/>
      <c r="N2" s="3" t="n"/>
      <c r="O2" s="3" t="n"/>
      <c r="P2" s="3" t="n"/>
      <c r="Q2" s="3">
        <f>COUNTIF(Q3:Q50, "YES")</f>
        <v/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 ht="45" customHeight="1">
      <c r="A3" s="4" t="inlineStr">
        <is>
          <t>19-10-2026</t>
        </is>
      </c>
      <c r="B3" s="4" t="inlineStr">
        <is>
          <t>MORNING</t>
        </is>
      </c>
      <c r="C3" s="4" t="inlineStr">
        <is>
          <t>MORNING</t>
        </is>
      </c>
      <c r="D3" s="4" t="inlineStr">
        <is>
          <t>1</t>
        </is>
      </c>
      <c r="E3" s="5" t="inlineStr">
        <is>
          <t>https://x.com/Diwaker70180261/status/2111604765486707028?s=20</t>
        </is>
      </c>
      <c r="F3" s="4" t="inlineStr">
        <is>
          <t>Diwaker70180261</t>
        </is>
      </c>
      <c r="G3" s="4" t="inlineStr">
        <is>
          <t>upm</t>
        </is>
      </c>
      <c r="H3" s="4" t="inlineStr"/>
      <c r="I3" s="4" t="inlineStr">
        <is>
          <t>YES</t>
        </is>
      </c>
      <c r="J3" s="4" t="inlineStr">
        <is>
          <t>SUPPLY_OUTAGE</t>
        </is>
      </c>
      <c r="K3" s="4" t="inlineStr">
        <is>
          <t>MVVNL</t>
        </is>
      </c>
      <c r="L3" s="4" t="inlineStr">
        <is>
          <t>DEVIPATAN</t>
        </is>
      </c>
      <c r="M3" s="4" t="inlineStr">
        <is>
          <t>GONDA</t>
        </is>
      </c>
      <c r="N3" s="6" t="inlineStr">
        <is>
          <t>Verified match for GONDA -&gt; MVVNL</t>
        </is>
      </c>
      <c r="O3" s="4" t="inlineStr">
        <is>
          <t>Forwarded to Discom</t>
        </is>
      </c>
      <c r="P3" s="4" t="inlineStr">
        <is>
          <t>YES</t>
        </is>
      </c>
      <c r="Q3" s="4" t="inlineStr"/>
      <c r="R3" s="4" t="inlineStr"/>
      <c r="S3" s="4" t="inlineStr"/>
      <c r="T3" s="6" t="inlineStr">
        <is>
          <t>2111604765486707028</t>
        </is>
      </c>
      <c r="U3" s="6" t="inlineStr">
        <is>
          <t>@UPPCLLKO @mduppcl गोंडा जिले के वजीरगंज ब्लॉक में पिछले 12 घंटे से बिजली आपूर्ति पूरी तरह बाधित है।</t>
        </is>
      </c>
      <c r="V3" s="6" t="inlineStr">
        <is>
          <t>2026-10-19T06:00:00Z</t>
        </is>
      </c>
      <c r="W3" s="6" t="inlineStr">
        <is>
          <t>19-10-2026 11:30:00</t>
        </is>
      </c>
      <c r="X3" s="4" t="inlineStr">
        <is>
          <t>hi</t>
        </is>
      </c>
      <c r="Y3" s="4" t="inlineStr">
        <is>
          <t>HIGH</t>
        </is>
      </c>
      <c r="Z3" s="6" t="inlineStr">
        <is>
          <t>Concerned team @MVVNLHQ, कृपया सम्मानित उपभोक्ता की बिजली आपूर्ति बाधित होने की शिकायत का संज्ञान लेकर आवश्यक कार्यवाही करें।</t>
        </is>
      </c>
      <c r="AA3" s="4" t="inlineStr">
        <is>
          <t>DRAFT_READY</t>
        </is>
      </c>
      <c r="AB3" s="6" t="inlineStr"/>
      <c r="AC3" s="6" t="inlineStr"/>
      <c r="AD3" s="6" t="inlineStr"/>
      <c r="AE3" s="4" t="inlineStr">
        <is>
          <t>CLASSIFIED</t>
        </is>
      </c>
      <c r="AF3" s="6" t="inlineStr"/>
    </row>
    <row r="4" ht="45" customHeight="1">
      <c r="A4" s="4" t="inlineStr">
        <is>
          <t>19-10-2026</t>
        </is>
      </c>
      <c r="B4" s="4" t="inlineStr">
        <is>
          <t>MORNING</t>
        </is>
      </c>
      <c r="C4" s="4" t="inlineStr">
        <is>
          <t>MORNING</t>
        </is>
      </c>
      <c r="D4" s="4" t="inlineStr">
        <is>
          <t>1</t>
        </is>
      </c>
      <c r="E4" s="5" t="inlineStr">
        <is>
          <t>https://x.com/drx_mohd_sami/status/2111617408557568279?s=20</t>
        </is>
      </c>
      <c r="F4" s="4" t="inlineStr">
        <is>
          <t>drx_mohd_sami</t>
        </is>
      </c>
      <c r="G4" s="4" t="inlineStr">
        <is>
          <t>upl</t>
        </is>
      </c>
      <c r="H4" s="4" t="inlineStr"/>
      <c r="I4" s="4" t="inlineStr">
        <is>
          <t>YES</t>
        </is>
      </c>
      <c r="J4" s="4" t="inlineStr">
        <is>
          <t>SUPPLY_OUTAGE</t>
        </is>
      </c>
      <c r="K4" s="4" t="inlineStr">
        <is>
          <t>PVVNL</t>
        </is>
      </c>
      <c r="L4" s="4" t="inlineStr">
        <is>
          <t>BULANDSAHAR</t>
        </is>
      </c>
      <c r="M4" s="4" t="inlineStr">
        <is>
          <t>BULANDSAHAR</t>
        </is>
      </c>
      <c r="N4" s="6" t="inlineStr">
        <is>
          <t>Verified match for BULANDSAHAR -&gt; PVVNL</t>
        </is>
      </c>
      <c r="O4" s="4" t="inlineStr">
        <is>
          <t>Forwarded to Discom</t>
        </is>
      </c>
      <c r="P4" s="4" t="inlineStr">
        <is>
          <t>YES</t>
        </is>
      </c>
      <c r="Q4" s="4" t="inlineStr"/>
      <c r="R4" s="4" t="inlineStr"/>
      <c r="S4" s="4" t="inlineStr"/>
      <c r="T4" s="6" t="inlineStr">
        <is>
          <t>2111617408557568279</t>
        </is>
      </c>
      <c r="U4" s="6" t="inlineStr">
        <is>
          <t>@UPPCLLKO @PVVNLHQ Bulandshahr city power outage since 2 PM. Inverter batteries dying, please restore supply immediately.</t>
        </is>
      </c>
      <c r="V4" s="6" t="inlineStr">
        <is>
          <t>2026-10-19T06:15:00Z</t>
        </is>
      </c>
      <c r="W4" s="6" t="inlineStr">
        <is>
          <t>19-10-2026 11:45:00</t>
        </is>
      </c>
      <c r="X4" s="4" t="inlineStr">
        <is>
          <t>en</t>
        </is>
      </c>
      <c r="Y4" s="4" t="inlineStr">
        <is>
          <t>HIGH</t>
        </is>
      </c>
      <c r="Z4" s="6" t="inlineStr">
        <is>
          <t>Concerned team @PVVNLHQ, kindly look into this consumer power supply outage grievance and take prompt action.</t>
        </is>
      </c>
      <c r="AA4" s="4" t="inlineStr">
        <is>
          <t>DRAFT_READY</t>
        </is>
      </c>
      <c r="AB4" s="6" t="inlineStr"/>
      <c r="AC4" s="6" t="inlineStr"/>
      <c r="AD4" s="6" t="inlineStr"/>
      <c r="AE4" s="4" t="inlineStr">
        <is>
          <t>CLASSIFIED</t>
        </is>
      </c>
      <c r="AF4" s="6" t="inlineStr"/>
    </row>
    <row r="5" ht="45" customHeight="1">
      <c r="A5" s="4" t="inlineStr">
        <is>
          <t>19-10-2026</t>
        </is>
      </c>
      <c r="B5" s="4" t="inlineStr">
        <is>
          <t>MORNING</t>
        </is>
      </c>
      <c r="C5" s="4" t="inlineStr">
        <is>
          <t>MORNING</t>
        </is>
      </c>
      <c r="D5" s="4" t="inlineStr">
        <is>
          <t>1</t>
        </is>
      </c>
      <c r="E5" s="5" t="inlineStr">
        <is>
          <t>https://x.com/durgeshkumabq8/status/2111609477049012326?s=20</t>
        </is>
      </c>
      <c r="F5" s="4" t="inlineStr">
        <is>
          <t>durgeshkumabq8</t>
        </is>
      </c>
      <c r="G5" s="4" t="inlineStr">
        <is>
          <t>akb</t>
        </is>
      </c>
      <c r="H5" s="4" t="inlineStr"/>
      <c r="I5" s="4" t="inlineStr">
        <is>
          <t>YES</t>
        </is>
      </c>
      <c r="J5" s="4" t="inlineStr">
        <is>
          <t>TRANSFORMER_DAMAGE</t>
        </is>
      </c>
      <c r="K5" s="4" t="inlineStr">
        <is>
          <t>MVVNL</t>
        </is>
      </c>
      <c r="L5" s="4" t="inlineStr">
        <is>
          <t>AYODHYA</t>
        </is>
      </c>
      <c r="M5" s="4" t="inlineStr">
        <is>
          <t>AYODHYA</t>
        </is>
      </c>
      <c r="N5" s="6" t="inlineStr">
        <is>
          <t>Verified match for AYODHYA -&gt; MVVNL</t>
        </is>
      </c>
      <c r="O5" s="4" t="inlineStr">
        <is>
          <t>Forwarded to Discom</t>
        </is>
      </c>
      <c r="P5" s="4" t="inlineStr">
        <is>
          <t>YES</t>
        </is>
      </c>
      <c r="Q5" s="4" t="inlineStr"/>
      <c r="R5" s="4" t="inlineStr"/>
      <c r="S5" s="4" t="inlineStr"/>
      <c r="T5" s="6" t="inlineStr">
        <is>
          <t>2111609477049012326</t>
        </is>
      </c>
      <c r="U5" s="6" t="inlineStr">
        <is>
          <t>@aksharmaBharat @UPPCLLKO हमारे गांव में 63 KVA का ट्रांसफार्मर फुंक गया है। 3 दिन से अंधेरा है। नया ट्रांसफार्मर लगवाया जाए।</t>
        </is>
      </c>
      <c r="V5" s="6" t="inlineStr">
        <is>
          <t>2026-10-19T06:20:00Z</t>
        </is>
      </c>
      <c r="W5" s="6" t="inlineStr">
        <is>
          <t>19-10-2026 11:50:00</t>
        </is>
      </c>
      <c r="X5" s="4" t="inlineStr">
        <is>
          <t>hi</t>
        </is>
      </c>
      <c r="Y5" s="4" t="inlineStr">
        <is>
          <t>HIGH</t>
        </is>
      </c>
      <c r="Z5" s="6" t="inlineStr">
        <is>
          <t>Concerned team @MVVNLHQ, कृपया क्षतिग्रस्त परिवर्तक (ट्रांसफार्मर) का अविलंब संज्ञान लेकर नियमानुसार आवश्यक कार्यवाही सुनिश्चित करें।</t>
        </is>
      </c>
      <c r="AA5" s="4" t="inlineStr">
        <is>
          <t>DRAFT_READY</t>
        </is>
      </c>
      <c r="AB5" s="6" t="inlineStr"/>
      <c r="AC5" s="6" t="inlineStr"/>
      <c r="AD5" s="6" t="inlineStr"/>
      <c r="AE5" s="4" t="inlineStr">
        <is>
          <t>CLASSIFIED</t>
        </is>
      </c>
      <c r="AF5" s="6" t="inlineStr"/>
    </row>
    <row r="6" ht="45" customHeight="1">
      <c r="A6" s="4" t="inlineStr">
        <is>
          <t>19-10-2026</t>
        </is>
      </c>
      <c r="B6" s="4" t="inlineStr">
        <is>
          <t>MORNING</t>
        </is>
      </c>
      <c r="C6" s="4" t="inlineStr">
        <is>
          <t>MORNING</t>
        </is>
      </c>
      <c r="D6" s="4" t="inlineStr">
        <is>
          <t>1</t>
        </is>
      </c>
      <c r="E6" s="5" t="inlineStr">
        <is>
          <t>https://x.com/Er_Naushad_khan/status/2111626795447706058?s=20</t>
        </is>
      </c>
      <c r="F6" s="4" t="inlineStr">
        <is>
          <t>Er_Naushad_khan</t>
        </is>
      </c>
      <c r="G6" s="4" t="inlineStr">
        <is>
          <t>upl</t>
        </is>
      </c>
      <c r="H6" s="4" t="inlineStr"/>
      <c r="I6" s="4" t="inlineStr">
        <is>
          <t>YES</t>
        </is>
      </c>
      <c r="J6" s="4" t="inlineStr">
        <is>
          <t>SUPPLY_VOLTAGE</t>
        </is>
      </c>
      <c r="K6" s="4" t="inlineStr">
        <is>
          <t>KESCO</t>
        </is>
      </c>
      <c r="L6" s="4" t="inlineStr">
        <is>
          <t>KESCO</t>
        </is>
      </c>
      <c r="M6" s="4" t="inlineStr">
        <is>
          <t>KANPUR CITY</t>
        </is>
      </c>
      <c r="N6" s="6" t="inlineStr">
        <is>
          <t>Verified match for KANPUR CITY -&gt; KESCO</t>
        </is>
      </c>
      <c r="O6" s="4" t="inlineStr">
        <is>
          <t>Forwarded to Discom</t>
        </is>
      </c>
      <c r="P6" s="4" t="inlineStr">
        <is>
          <t>YES</t>
        </is>
      </c>
      <c r="Q6" s="4" t="inlineStr"/>
      <c r="R6" s="4" t="inlineStr"/>
      <c r="S6" s="4" t="inlineStr"/>
      <c r="T6" s="6" t="inlineStr">
        <is>
          <t>2111626795447706058</t>
        </is>
      </c>
      <c r="U6" s="6" t="inlineStr">
        <is>
          <t>@UPPCLLKO @KESCoHQ Rawatpur Kanpur me heavy voltage fluctuation chal raha hai. Fridge and AC damaged. Please fix transformer.</t>
        </is>
      </c>
      <c r="V6" s="6" t="inlineStr">
        <is>
          <t>2026-10-19T06:30:00Z</t>
        </is>
      </c>
      <c r="W6" s="6" t="inlineStr">
        <is>
          <t>19-10-2026 12:00:00</t>
        </is>
      </c>
      <c r="X6" s="4" t="inlineStr">
        <is>
          <t>hi-Latn</t>
        </is>
      </c>
      <c r="Y6" s="4" t="inlineStr">
        <is>
          <t>HIGH</t>
        </is>
      </c>
      <c r="Z6" s="6" t="inlineStr">
        <is>
          <t>Concerned team @KESCoHQ, कृपया वोल्टेज समस्या (लो/हाई वोल्टेज) का संज्ञान लेकर आपूर्ति को सामान्य कराना सुनिश्चित करें।</t>
        </is>
      </c>
      <c r="AA6" s="4" t="inlineStr">
        <is>
          <t>DRAFT_READY</t>
        </is>
      </c>
      <c r="AB6" s="6" t="inlineStr"/>
      <c r="AC6" s="6" t="inlineStr"/>
      <c r="AD6" s="6" t="inlineStr"/>
      <c r="AE6" s="4" t="inlineStr">
        <is>
          <t>CLASSIFIED</t>
        </is>
      </c>
      <c r="AF6" s="6" t="inlineStr"/>
    </row>
    <row r="7" ht="45" customHeight="1">
      <c r="A7" s="4" t="inlineStr">
        <is>
          <t>19-10-2026</t>
        </is>
      </c>
      <c r="B7" s="4" t="inlineStr">
        <is>
          <t>MORNING</t>
        </is>
      </c>
      <c r="C7" s="4" t="inlineStr">
        <is>
          <t>MORNING</t>
        </is>
      </c>
      <c r="D7" s="4" t="inlineStr">
        <is>
          <t>1</t>
        </is>
      </c>
      <c r="E7" s="5" t="inlineStr">
        <is>
          <t>https://x.com/rohi_tkushwahaa/status/2111631974771360067?s=20</t>
        </is>
      </c>
      <c r="F7" s="4" t="inlineStr">
        <is>
          <t>rohi_tkushwahaa</t>
        </is>
      </c>
      <c r="G7" s="4" t="inlineStr">
        <is>
          <t>upm</t>
        </is>
      </c>
      <c r="H7" s="4" t="inlineStr"/>
      <c r="I7" s="4" t="inlineStr">
        <is>
          <t>YES</t>
        </is>
      </c>
      <c r="J7" s="4" t="inlineStr">
        <is>
          <t>CONNECTION_NEW</t>
        </is>
      </c>
      <c r="K7" s="4" t="inlineStr">
        <is>
          <t>PuVVNL</t>
        </is>
      </c>
      <c r="L7" s="4" t="inlineStr">
        <is>
          <t>GORAKHPUR-2</t>
        </is>
      </c>
      <c r="M7" s="4" t="inlineStr">
        <is>
          <t>DEORIA</t>
        </is>
      </c>
      <c r="N7" s="6" t="inlineStr">
        <is>
          <t>Verified match for DEORIA -&gt; PuVVNL</t>
        </is>
      </c>
      <c r="O7" s="4" t="inlineStr">
        <is>
          <t>Forwarded to Discom</t>
        </is>
      </c>
      <c r="P7" s="4" t="inlineStr">
        <is>
          <t>YES</t>
        </is>
      </c>
      <c r="Q7" s="4" t="inlineStr"/>
      <c r="R7" s="4" t="inlineStr"/>
      <c r="S7" s="4" t="inlineStr"/>
      <c r="T7" s="6" t="inlineStr">
        <is>
          <t>2111631974771360067</t>
        </is>
      </c>
      <c r="U7" s="6" t="inlineStr">
        <is>
          <t>@mduppcl @PuVVNLHQ देवरिया में झटपट पोर्टल पर नए कनेक्शन के लिए 15 दिन पहले अप्लाई किया था लेकिन अभी तक मीटर नहीं लगा।</t>
        </is>
      </c>
      <c r="V7" s="6" t="inlineStr">
        <is>
          <t>2026-10-19T06:40:00Z</t>
        </is>
      </c>
      <c r="W7" s="6" t="inlineStr">
        <is>
          <t>19-10-2026 12:10:00</t>
        </is>
      </c>
      <c r="X7" s="4" t="inlineStr">
        <is>
          <t>hi</t>
        </is>
      </c>
      <c r="Y7" s="4" t="inlineStr">
        <is>
          <t>HIGH</t>
        </is>
      </c>
      <c r="Z7" s="6" t="inlineStr">
        <is>
          <t>Concerned team @PuVVNLHQ, कृपया नवीन संयोजन (नए कनेक्शन) सम्बन्धी इस प्रकरण का संज्ञान लेकर आवश्यक कार्यवाही करें।</t>
        </is>
      </c>
      <c r="AA7" s="4" t="inlineStr">
        <is>
          <t>DRAFT_READY</t>
        </is>
      </c>
      <c r="AB7" s="6" t="inlineStr"/>
      <c r="AC7" s="6" t="inlineStr"/>
      <c r="AD7" s="6" t="inlineStr"/>
      <c r="AE7" s="4" t="inlineStr">
        <is>
          <t>CLASSIFIED</t>
        </is>
      </c>
      <c r="AF7" s="6" t="inlineStr"/>
    </row>
    <row r="8" ht="45" customHeight="1">
      <c r="A8" s="4" t="inlineStr">
        <is>
          <t>19-10-2026</t>
        </is>
      </c>
      <c r="B8" s="4" t="inlineStr">
        <is>
          <t>MORNING</t>
        </is>
      </c>
      <c r="C8" s="4" t="inlineStr">
        <is>
          <t>MORNING</t>
        </is>
      </c>
      <c r="D8" s="4" t="inlineStr">
        <is>
          <t>1</t>
        </is>
      </c>
      <c r="E8" s="5" t="inlineStr">
        <is>
          <t>https://x.com/PooranSardar/status/2111658518130642993?s=20</t>
        </is>
      </c>
      <c r="F8" s="4" t="inlineStr">
        <is>
          <t>PooranSardar</t>
        </is>
      </c>
      <c r="G8" s="4" t="inlineStr">
        <is>
          <t>upl</t>
        </is>
      </c>
      <c r="H8" s="4" t="inlineStr"/>
      <c r="I8" s="4" t="inlineStr">
        <is>
          <t>YES</t>
        </is>
      </c>
      <c r="J8" s="4" t="inlineStr">
        <is>
          <t>BILL_RELATED</t>
        </is>
      </c>
      <c r="K8" s="4" t="inlineStr">
        <is>
          <t>DVVNL</t>
        </is>
      </c>
      <c r="L8" s="4" t="inlineStr">
        <is>
          <t>MATHURA</t>
        </is>
      </c>
      <c r="M8" s="4" t="inlineStr">
        <is>
          <t>MATHURA</t>
        </is>
      </c>
      <c r="N8" s="6" t="inlineStr">
        <is>
          <t>Verified match for MATHURA -&gt; DVVNL</t>
        </is>
      </c>
      <c r="O8" s="4" t="inlineStr">
        <is>
          <t>Forwarded to Discom</t>
        </is>
      </c>
      <c r="P8" s="4" t="inlineStr">
        <is>
          <t>YES</t>
        </is>
      </c>
      <c r="Q8" s="4" t="inlineStr"/>
      <c r="R8" s="4" t="inlineStr"/>
      <c r="S8" s="4" t="inlineStr"/>
      <c r="T8" s="6" t="inlineStr">
        <is>
          <t>2111658518130642993</t>
        </is>
      </c>
      <c r="U8" s="6" t="inlineStr">
        <is>
          <t>@UPPCLLKO @dvvnlhq मथुरा छाता क्षेत्र में अत्यधिक गलत बिल भेज दिया गया है। 2 कमरे के घर का बिल 45000 आया है।</t>
        </is>
      </c>
      <c r="V8" s="6" t="inlineStr">
        <is>
          <t>2026-10-19T06:45:00Z</t>
        </is>
      </c>
      <c r="W8" s="6" t="inlineStr">
        <is>
          <t>19-10-2026 12:15:00</t>
        </is>
      </c>
      <c r="X8" s="4" t="inlineStr">
        <is>
          <t>hi</t>
        </is>
      </c>
      <c r="Y8" s="4" t="inlineStr">
        <is>
          <t>HIGH</t>
        </is>
      </c>
      <c r="Z8" s="6" t="inlineStr">
        <is>
          <t>Concerned team @dvvnlhq, कृपया सम्मानित उपभोक्ता की बिल सम्बन्धी शिकायत का संज्ञान लेकर त्वरित निस्तारण सुनिश्चित करें।</t>
        </is>
      </c>
      <c r="AA8" s="4" t="inlineStr">
        <is>
          <t>DRAFT_READY</t>
        </is>
      </c>
      <c r="AB8" s="6" t="inlineStr"/>
      <c r="AC8" s="6" t="inlineStr"/>
      <c r="AD8" s="6" t="inlineStr"/>
      <c r="AE8" s="4" t="inlineStr">
        <is>
          <t>CLASSIFIED</t>
        </is>
      </c>
      <c r="AF8" s="6" t="inlineStr"/>
    </row>
    <row r="9" ht="45" customHeight="1">
      <c r="A9" s="4" t="inlineStr">
        <is>
          <t>19-10-2026</t>
        </is>
      </c>
      <c r="B9" s="4" t="inlineStr">
        <is>
          <t>MORNING</t>
        </is>
      </c>
      <c r="C9" s="4" t="inlineStr">
        <is>
          <t>MORNING</t>
        </is>
      </c>
      <c r="D9" s="4" t="inlineStr">
        <is>
          <t>1</t>
        </is>
      </c>
      <c r="E9" s="5" t="inlineStr">
        <is>
          <t>https://x.com/Neeraj120459/status/2111660825899323771?s=20</t>
        </is>
      </c>
      <c r="F9" s="4" t="inlineStr">
        <is>
          <t>Neeraj120459</t>
        </is>
      </c>
      <c r="G9" s="4" t="inlineStr">
        <is>
          <t>upm</t>
        </is>
      </c>
      <c r="H9" s="4" t="inlineStr"/>
      <c r="I9" s="4" t="inlineStr">
        <is>
          <t>APPRECIATION</t>
        </is>
      </c>
      <c r="J9" s="4" t="inlineStr"/>
      <c r="K9" s="4" t="inlineStr"/>
      <c r="L9" s="4" t="inlineStr"/>
      <c r="M9" s="4" t="inlineStr"/>
      <c r="N9" s="6" t="inlineStr">
        <is>
          <t>Consumer appreciation logged</t>
        </is>
      </c>
      <c r="O9" s="4" t="inlineStr"/>
      <c r="P9" s="4" t="inlineStr"/>
      <c r="Q9" s="4" t="inlineStr"/>
      <c r="R9" s="4" t="inlineStr"/>
      <c r="S9" s="4" t="inlineStr"/>
      <c r="T9" s="6" t="inlineStr">
        <is>
          <t>2111660825899323771</t>
        </is>
      </c>
      <c r="U9" s="6" t="inlineStr">
        <is>
          <t>@UPPCLLKO @mduppcl Gomti Nagar sub station team resolved my fuse blown complaint within 30 minutes! Excellent work and thank you!</t>
        </is>
      </c>
      <c r="V9" s="6" t="inlineStr">
        <is>
          <t>2026-10-19T06:50:00Z</t>
        </is>
      </c>
      <c r="W9" s="6" t="inlineStr">
        <is>
          <t>19-10-2026 12:20:00</t>
        </is>
      </c>
      <c r="X9" s="4" t="inlineStr">
        <is>
          <t>en</t>
        </is>
      </c>
      <c r="Y9" s="4" t="inlineStr">
        <is>
          <t>HIGH</t>
        </is>
      </c>
      <c r="Z9" s="6" t="inlineStr"/>
      <c r="AA9" s="4" t="inlineStr">
        <is>
          <t>SKIPPED</t>
        </is>
      </c>
      <c r="AB9" s="6" t="inlineStr"/>
      <c r="AC9" s="6" t="inlineStr"/>
      <c r="AD9" s="6" t="inlineStr"/>
      <c r="AE9" s="4" t="inlineStr">
        <is>
          <t>CLASSIFIED</t>
        </is>
      </c>
      <c r="AF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 ht="30" customHeight="1">
      <c r="A1" s="1" t="inlineStr">
        <is>
          <t>DISCOM</t>
        </is>
      </c>
      <c r="B1" s="1" t="inlineStr">
        <is>
          <t>District</t>
        </is>
      </c>
      <c r="C1" s="1" t="inlineStr">
        <is>
          <t>ZONE</t>
        </is>
      </c>
    </row>
    <row r="2">
      <c r="A2" s="7" t="inlineStr">
        <is>
          <t>DVVNL</t>
        </is>
      </c>
      <c r="B2" s="7" t="inlineStr">
        <is>
          <t>AGRA</t>
        </is>
      </c>
      <c r="C2" s="7" t="inlineStr">
        <is>
          <t>AGRA-1</t>
        </is>
      </c>
    </row>
    <row r="3">
      <c r="A3" s="7" t="inlineStr">
        <is>
          <t>DVVNL</t>
        </is>
      </c>
      <c r="B3" s="7" t="inlineStr">
        <is>
          <t>ALIGARH</t>
        </is>
      </c>
      <c r="C3" s="7" t="inlineStr">
        <is>
          <t>ALIGARH</t>
        </is>
      </c>
    </row>
    <row r="4">
      <c r="A4" s="7" t="inlineStr">
        <is>
          <t>DVVNL</t>
        </is>
      </c>
      <c r="B4" s="7" t="inlineStr">
        <is>
          <t>AURAIYA</t>
        </is>
      </c>
      <c r="C4" s="7" t="inlineStr">
        <is>
          <t>KANPUR-2</t>
        </is>
      </c>
    </row>
    <row r="5">
      <c r="A5" s="7" t="inlineStr">
        <is>
          <t>DVVNL</t>
        </is>
      </c>
      <c r="B5" s="7" t="inlineStr">
        <is>
          <t>BANDA</t>
        </is>
      </c>
      <c r="C5" s="7" t="inlineStr">
        <is>
          <t>BANDA</t>
        </is>
      </c>
    </row>
    <row r="6">
      <c r="A6" s="7" t="inlineStr">
        <is>
          <t>DVVNL</t>
        </is>
      </c>
      <c r="B6" s="7" t="inlineStr">
        <is>
          <t>CHITRAKOOT</t>
        </is>
      </c>
      <c r="C6" s="7" t="inlineStr">
        <is>
          <t>BANDA</t>
        </is>
      </c>
    </row>
    <row r="7">
      <c r="A7" s="7" t="inlineStr">
        <is>
          <t>DVVNL</t>
        </is>
      </c>
      <c r="B7" s="7" t="inlineStr">
        <is>
          <t>ETAH</t>
        </is>
      </c>
      <c r="C7" s="7" t="inlineStr">
        <is>
          <t>ETAH</t>
        </is>
      </c>
    </row>
    <row r="8">
      <c r="A8" s="7" t="inlineStr">
        <is>
          <t>DVVNL</t>
        </is>
      </c>
      <c r="B8" s="7" t="inlineStr">
        <is>
          <t>ETAWAH</t>
        </is>
      </c>
      <c r="C8" s="7" t="inlineStr">
        <is>
          <t>KANPUR-2</t>
        </is>
      </c>
    </row>
    <row r="9">
      <c r="A9" s="7" t="inlineStr">
        <is>
          <t>DVVNL</t>
        </is>
      </c>
      <c r="B9" s="7" t="inlineStr">
        <is>
          <t>FARRUKHABAD</t>
        </is>
      </c>
      <c r="C9" s="7" t="inlineStr">
        <is>
          <t>KANPUR-2</t>
        </is>
      </c>
    </row>
    <row r="10">
      <c r="A10" s="7" t="inlineStr">
        <is>
          <t>DVVNL</t>
        </is>
      </c>
      <c r="B10" s="7" t="inlineStr">
        <is>
          <t>FIROZABAD</t>
        </is>
      </c>
      <c r="C10" s="7" t="inlineStr">
        <is>
          <t>FIROZABAD</t>
        </is>
      </c>
    </row>
    <row r="11">
      <c r="A11" s="7" t="inlineStr">
        <is>
          <t>DVVNL</t>
        </is>
      </c>
      <c r="B11" s="7" t="inlineStr">
        <is>
          <t>HAMIRPUR</t>
        </is>
      </c>
      <c r="C11" s="7" t="inlineStr">
        <is>
          <t>BANDA</t>
        </is>
      </c>
    </row>
    <row r="12">
      <c r="A12" s="7" t="inlineStr">
        <is>
          <t>DVVNL</t>
        </is>
      </c>
      <c r="B12" s="7" t="inlineStr">
        <is>
          <t>HATHRAS</t>
        </is>
      </c>
      <c r="C12" s="7" t="inlineStr">
        <is>
          <t>ETAH</t>
        </is>
      </c>
    </row>
    <row r="13">
      <c r="A13" s="7" t="inlineStr">
        <is>
          <t>DVVNL</t>
        </is>
      </c>
      <c r="B13" s="7" t="inlineStr">
        <is>
          <t>JALAUN</t>
        </is>
      </c>
      <c r="C13" s="7" t="inlineStr">
        <is>
          <t>JHANSI</t>
        </is>
      </c>
    </row>
    <row r="14">
      <c r="A14" s="7" t="inlineStr">
        <is>
          <t>DVVNL</t>
        </is>
      </c>
      <c r="B14" s="7" t="inlineStr">
        <is>
          <t>JHANSI</t>
        </is>
      </c>
      <c r="C14" s="7" t="inlineStr">
        <is>
          <t>JHANSI</t>
        </is>
      </c>
    </row>
    <row r="15">
      <c r="A15" s="7" t="inlineStr">
        <is>
          <t>DVVNL</t>
        </is>
      </c>
      <c r="B15" s="7" t="inlineStr">
        <is>
          <t>KANNAUJ</t>
        </is>
      </c>
      <c r="C15" s="7" t="inlineStr">
        <is>
          <t>KANPUR-2</t>
        </is>
      </c>
    </row>
    <row r="16">
      <c r="A16" s="7" t="inlineStr">
        <is>
          <t>DVVNL</t>
        </is>
      </c>
      <c r="B16" s="7" t="inlineStr">
        <is>
          <t>KANPUR DEHAT</t>
        </is>
      </c>
      <c r="C16" s="7" t="inlineStr">
        <is>
          <t>KANPUR-1</t>
        </is>
      </c>
    </row>
    <row r="17">
      <c r="A17" s="7" t="inlineStr">
        <is>
          <t>DVVNL</t>
        </is>
      </c>
      <c r="B17" s="7" t="inlineStr">
        <is>
          <t>KASGANJ</t>
        </is>
      </c>
      <c r="C17" s="7" t="inlineStr">
        <is>
          <t>ETAH</t>
        </is>
      </c>
    </row>
    <row r="18">
      <c r="A18" s="7" t="inlineStr">
        <is>
          <t>DVVNL</t>
        </is>
      </c>
      <c r="B18" s="7" t="inlineStr">
        <is>
          <t>LALITPUR</t>
        </is>
      </c>
      <c r="C18" s="7" t="inlineStr">
        <is>
          <t>JHANSI</t>
        </is>
      </c>
    </row>
    <row r="19">
      <c r="A19" s="7" t="inlineStr">
        <is>
          <t>DVVNL</t>
        </is>
      </c>
      <c r="B19" s="7" t="inlineStr">
        <is>
          <t>MAHOBA</t>
        </is>
      </c>
      <c r="C19" s="7" t="inlineStr">
        <is>
          <t>BANDA</t>
        </is>
      </c>
    </row>
    <row r="20">
      <c r="A20" s="7" t="inlineStr">
        <is>
          <t>DVVNL</t>
        </is>
      </c>
      <c r="B20" s="7" t="inlineStr">
        <is>
          <t>MAINPURI</t>
        </is>
      </c>
      <c r="C20" s="7" t="inlineStr">
        <is>
          <t>FIROZABAD</t>
        </is>
      </c>
    </row>
    <row r="21">
      <c r="A21" s="7" t="inlineStr">
        <is>
          <t>DVVNL</t>
        </is>
      </c>
      <c r="B21" s="7" t="inlineStr">
        <is>
          <t>MATHURA</t>
        </is>
      </c>
      <c r="C21" s="7" t="inlineStr">
        <is>
          <t>MATHURA</t>
        </is>
      </c>
    </row>
    <row r="22">
      <c r="A22" s="7" t="inlineStr">
        <is>
          <t>KESCO</t>
        </is>
      </c>
      <c r="B22" s="7" t="inlineStr">
        <is>
          <t>KANPUR CITY</t>
        </is>
      </c>
      <c r="C22" s="7" t="inlineStr">
        <is>
          <t>KESCO</t>
        </is>
      </c>
    </row>
    <row r="23">
      <c r="A23" s="7" t="inlineStr">
        <is>
          <t>MVVNL</t>
        </is>
      </c>
      <c r="B23" s="7" t="inlineStr">
        <is>
          <t>AMBEDKAR NAGAR</t>
        </is>
      </c>
      <c r="C23" s="7" t="inlineStr">
        <is>
          <t>AYODHYA</t>
        </is>
      </c>
    </row>
    <row r="24">
      <c r="A24" s="7" t="inlineStr">
        <is>
          <t>MVVNL</t>
        </is>
      </c>
      <c r="B24" s="7" t="inlineStr">
        <is>
          <t>AMETHI</t>
        </is>
      </c>
      <c r="C24" s="7" t="inlineStr">
        <is>
          <t>AYODHYA</t>
        </is>
      </c>
    </row>
    <row r="25">
      <c r="A25" s="7" t="inlineStr">
        <is>
          <t>MVVNL</t>
        </is>
      </c>
      <c r="B25" s="7" t="inlineStr">
        <is>
          <t>AYODHYA</t>
        </is>
      </c>
      <c r="C25" s="7" t="inlineStr">
        <is>
          <t>AYODHYA</t>
        </is>
      </c>
    </row>
    <row r="26">
      <c r="A26" s="7" t="inlineStr">
        <is>
          <t>MVVNL</t>
        </is>
      </c>
      <c r="B26" s="7" t="inlineStr">
        <is>
          <t>BADAUN</t>
        </is>
      </c>
      <c r="C26" s="7" t="inlineStr">
        <is>
          <t>BAREILY-2</t>
        </is>
      </c>
    </row>
    <row r="27">
      <c r="A27" s="7" t="inlineStr">
        <is>
          <t>MVVNL</t>
        </is>
      </c>
      <c r="B27" s="7" t="inlineStr">
        <is>
          <t>BAHRAICH</t>
        </is>
      </c>
      <c r="C27" s="7" t="inlineStr">
        <is>
          <t>DEVIPATAN</t>
        </is>
      </c>
    </row>
    <row r="28">
      <c r="A28" s="7" t="inlineStr">
        <is>
          <t>MVVNL</t>
        </is>
      </c>
      <c r="B28" s="7" t="inlineStr">
        <is>
          <t>BALRAMPUR</t>
        </is>
      </c>
      <c r="C28" s="7" t="inlineStr">
        <is>
          <t>DEVIPATAN</t>
        </is>
      </c>
    </row>
    <row r="29">
      <c r="A29" s="7" t="inlineStr">
        <is>
          <t>MVVNL</t>
        </is>
      </c>
      <c r="B29" s="7" t="inlineStr">
        <is>
          <t>BARABANKI</t>
        </is>
      </c>
      <c r="C29" s="7" t="inlineStr">
        <is>
          <t>AYODHYA</t>
        </is>
      </c>
    </row>
    <row r="30">
      <c r="A30" s="7" t="inlineStr">
        <is>
          <t>MVVNL</t>
        </is>
      </c>
      <c r="B30" s="7" t="inlineStr">
        <is>
          <t>BAREILY</t>
        </is>
      </c>
      <c r="C30" s="7" t="inlineStr">
        <is>
          <t>BAREILY-1</t>
        </is>
      </c>
    </row>
    <row r="31">
      <c r="A31" s="7" t="inlineStr">
        <is>
          <t>MVVNL</t>
        </is>
      </c>
      <c r="B31" s="7" t="inlineStr">
        <is>
          <t>GONDA</t>
        </is>
      </c>
      <c r="C31" s="7" t="inlineStr">
        <is>
          <t>DEVIPATAN</t>
        </is>
      </c>
    </row>
    <row r="32">
      <c r="A32" s="7" t="inlineStr">
        <is>
          <t>MVVNL</t>
        </is>
      </c>
      <c r="B32" s="7" t="inlineStr">
        <is>
          <t>HARDOI</t>
        </is>
      </c>
      <c r="C32" s="7" t="inlineStr">
        <is>
          <t>SITAPUR</t>
        </is>
      </c>
    </row>
    <row r="33">
      <c r="A33" s="7" t="inlineStr">
        <is>
          <t>MVVNL</t>
        </is>
      </c>
      <c r="B33" s="7" t="inlineStr">
        <is>
          <t>LAKHIMPUR</t>
        </is>
      </c>
      <c r="C33" s="7" t="inlineStr">
        <is>
          <t>SITAPUR</t>
        </is>
      </c>
    </row>
    <row r="34">
      <c r="A34" s="7" t="inlineStr">
        <is>
          <t>MVVNL</t>
        </is>
      </c>
      <c r="B34" s="7" t="inlineStr">
        <is>
          <t>LUCKNOW</t>
        </is>
      </c>
      <c r="C34" s="7" t="inlineStr">
        <is>
          <t>LESA</t>
        </is>
      </c>
    </row>
    <row r="35">
      <c r="A35" s="7" t="inlineStr">
        <is>
          <t>MVVNL</t>
        </is>
      </c>
      <c r="B35" s="7" t="inlineStr">
        <is>
          <t>PILIBHIT</t>
        </is>
      </c>
      <c r="C35" s="7" t="inlineStr">
        <is>
          <t>BAREILY-2</t>
        </is>
      </c>
    </row>
    <row r="36">
      <c r="A36" s="7" t="inlineStr">
        <is>
          <t>MVVNL</t>
        </is>
      </c>
      <c r="B36" s="7" t="inlineStr">
        <is>
          <t>RAEBAREILY</t>
        </is>
      </c>
      <c r="C36" s="7" t="inlineStr">
        <is>
          <t>RAEBAREILY</t>
        </is>
      </c>
    </row>
    <row r="37">
      <c r="A37" s="7" t="inlineStr">
        <is>
          <t>MVVNL</t>
        </is>
      </c>
      <c r="B37" s="7" t="inlineStr">
        <is>
          <t>SHAJAHANPUR</t>
        </is>
      </c>
      <c r="C37" s="7" t="inlineStr">
        <is>
          <t>BAREILY-2</t>
        </is>
      </c>
    </row>
    <row r="38">
      <c r="A38" s="7" t="inlineStr">
        <is>
          <t>MVVNL</t>
        </is>
      </c>
      <c r="B38" s="7" t="inlineStr">
        <is>
          <t>SHRAVASTI</t>
        </is>
      </c>
      <c r="C38" s="7" t="inlineStr">
        <is>
          <t>DEVIPATAN</t>
        </is>
      </c>
    </row>
    <row r="39">
      <c r="A39" s="7" t="inlineStr">
        <is>
          <t>MVVNL</t>
        </is>
      </c>
      <c r="B39" s="7" t="inlineStr">
        <is>
          <t>SITAPUR</t>
        </is>
      </c>
      <c r="C39" s="7" t="inlineStr">
        <is>
          <t>SITAPUR</t>
        </is>
      </c>
    </row>
    <row r="40">
      <c r="A40" s="7" t="inlineStr">
        <is>
          <t>MVVNL</t>
        </is>
      </c>
      <c r="B40" s="7" t="inlineStr">
        <is>
          <t>SULTANPUR</t>
        </is>
      </c>
      <c r="C40" s="7" t="inlineStr">
        <is>
          <t>AYODHYA</t>
        </is>
      </c>
    </row>
    <row r="41">
      <c r="A41" s="7" t="inlineStr">
        <is>
          <t>MVVNL</t>
        </is>
      </c>
      <c r="B41" s="7" t="inlineStr">
        <is>
          <t>UNNAO</t>
        </is>
      </c>
      <c r="C41" s="7" t="inlineStr">
        <is>
          <t>RAEBAREILY</t>
        </is>
      </c>
    </row>
    <row r="42">
      <c r="A42" s="7" t="inlineStr">
        <is>
          <t>PVVNL</t>
        </is>
      </c>
      <c r="B42" s="7" t="inlineStr">
        <is>
          <t>AMROHA</t>
        </is>
      </c>
      <c r="C42" s="7" t="inlineStr">
        <is>
          <t>GAZRAULA</t>
        </is>
      </c>
    </row>
    <row r="43">
      <c r="A43" s="7" t="inlineStr">
        <is>
          <t>PVVNL</t>
        </is>
      </c>
      <c r="B43" s="7" t="inlineStr">
        <is>
          <t>BAGHPAT</t>
        </is>
      </c>
      <c r="C43" s="7" t="inlineStr">
        <is>
          <t>MEERUT-2</t>
        </is>
      </c>
    </row>
    <row r="44">
      <c r="A44" s="7" t="inlineStr">
        <is>
          <t>PVVNL</t>
        </is>
      </c>
      <c r="B44" s="7" t="inlineStr">
        <is>
          <t>BIJNOR</t>
        </is>
      </c>
      <c r="C44" s="7" t="inlineStr">
        <is>
          <t>GAZRAULA</t>
        </is>
      </c>
    </row>
    <row r="45">
      <c r="A45" s="7" t="inlineStr">
        <is>
          <t>PVVNL</t>
        </is>
      </c>
      <c r="B45" s="7" t="inlineStr">
        <is>
          <t>BULANDSAHAR</t>
        </is>
      </c>
      <c r="C45" s="7" t="inlineStr">
        <is>
          <t>BULANDSAHAR</t>
        </is>
      </c>
    </row>
    <row r="46">
      <c r="A46" s="7" t="inlineStr">
        <is>
          <t>PVVNL</t>
        </is>
      </c>
      <c r="B46" s="7" t="inlineStr">
        <is>
          <t>GAUTAM BUDH NAGAR</t>
        </is>
      </c>
      <c r="C46" s="7" t="inlineStr">
        <is>
          <t>NOIDA</t>
        </is>
      </c>
    </row>
    <row r="47">
      <c r="A47" s="7" t="inlineStr">
        <is>
          <t>PVVNL</t>
        </is>
      </c>
      <c r="B47" s="7" t="inlineStr">
        <is>
          <t>GHAZIABAD</t>
        </is>
      </c>
      <c r="C47" s="7" t="inlineStr">
        <is>
          <t>GHAZIABAD</t>
        </is>
      </c>
    </row>
    <row r="48">
      <c r="A48" s="7" t="inlineStr">
        <is>
          <t>PVVNL</t>
        </is>
      </c>
      <c r="B48" s="7" t="inlineStr">
        <is>
          <t>HAPUR</t>
        </is>
      </c>
      <c r="C48" s="7" t="inlineStr">
        <is>
          <t>BULANDSAHAR</t>
        </is>
      </c>
    </row>
    <row r="49">
      <c r="A49" s="7" t="inlineStr">
        <is>
          <t>PVVNL</t>
        </is>
      </c>
      <c r="B49" s="7" t="inlineStr">
        <is>
          <t>MEERUT</t>
        </is>
      </c>
      <c r="C49" s="7" t="inlineStr">
        <is>
          <t>MEERUT</t>
        </is>
      </c>
    </row>
    <row r="50">
      <c r="A50" s="7" t="inlineStr">
        <is>
          <t>PVVNL</t>
        </is>
      </c>
      <c r="B50" s="7" t="inlineStr">
        <is>
          <t>MORADABAD</t>
        </is>
      </c>
      <c r="C50" s="7" t="inlineStr">
        <is>
          <t>MORADABAD</t>
        </is>
      </c>
    </row>
    <row r="51">
      <c r="A51" s="7" t="inlineStr">
        <is>
          <t>PVVNL</t>
        </is>
      </c>
      <c r="B51" s="7" t="inlineStr">
        <is>
          <t>MUZAFFERNAGAR</t>
        </is>
      </c>
      <c r="C51" s="7" t="inlineStr">
        <is>
          <t>MUZAFFERNAGAR</t>
        </is>
      </c>
    </row>
    <row r="52">
      <c r="A52" s="7" t="inlineStr">
        <is>
          <t>PVVNL</t>
        </is>
      </c>
      <c r="B52" s="7" t="inlineStr">
        <is>
          <t>RAMPUR</t>
        </is>
      </c>
      <c r="C52" s="7" t="inlineStr">
        <is>
          <t>MORADABAD</t>
        </is>
      </c>
    </row>
    <row r="53">
      <c r="A53" s="7" t="inlineStr">
        <is>
          <t>PVVNL</t>
        </is>
      </c>
      <c r="B53" s="7" t="inlineStr">
        <is>
          <t>SAHARANPUR</t>
        </is>
      </c>
      <c r="C53" s="7" t="inlineStr">
        <is>
          <t>SAHARANPUR</t>
        </is>
      </c>
    </row>
    <row r="54">
      <c r="A54" s="7" t="inlineStr">
        <is>
          <t>PVVNL</t>
        </is>
      </c>
      <c r="B54" s="7" t="inlineStr">
        <is>
          <t>SAMBHAL</t>
        </is>
      </c>
      <c r="C54" s="7" t="inlineStr">
        <is>
          <t>MORADABAD</t>
        </is>
      </c>
    </row>
    <row r="55">
      <c r="A55" s="7" t="inlineStr">
        <is>
          <t>PVVNL</t>
        </is>
      </c>
      <c r="B55" s="7" t="inlineStr">
        <is>
          <t>SHAMLI</t>
        </is>
      </c>
      <c r="C55" s="7" t="inlineStr">
        <is>
          <t>MUZAFFERNAGAR</t>
        </is>
      </c>
    </row>
    <row r="56">
      <c r="A56" s="7" t="inlineStr">
        <is>
          <t>PuVVNL</t>
        </is>
      </c>
      <c r="B56" s="7" t="inlineStr">
        <is>
          <t>AZAMGARH</t>
        </is>
      </c>
      <c r="C56" s="7" t="inlineStr">
        <is>
          <t>AZAMGARH</t>
        </is>
      </c>
    </row>
    <row r="57">
      <c r="A57" s="7" t="inlineStr">
        <is>
          <t>PuVVNL</t>
        </is>
      </c>
      <c r="B57" s="7" t="inlineStr">
        <is>
          <t>BALLIA</t>
        </is>
      </c>
      <c r="C57" s="7" t="inlineStr">
        <is>
          <t>AZAMGARH</t>
        </is>
      </c>
    </row>
    <row r="58">
      <c r="A58" s="7" t="inlineStr">
        <is>
          <t>PuVVNL</t>
        </is>
      </c>
      <c r="B58" s="7" t="inlineStr">
        <is>
          <t>BASTI</t>
        </is>
      </c>
      <c r="C58" s="7" t="inlineStr">
        <is>
          <t>BASTI</t>
        </is>
      </c>
    </row>
    <row r="59">
      <c r="A59" s="7" t="inlineStr">
        <is>
          <t>PuVVNL</t>
        </is>
      </c>
      <c r="B59" s="7" t="inlineStr">
        <is>
          <t>BHADOHI</t>
        </is>
      </c>
      <c r="C59" s="7" t="inlineStr">
        <is>
          <t>MIRZAPUR</t>
        </is>
      </c>
    </row>
    <row r="60">
      <c r="A60" s="7" t="inlineStr">
        <is>
          <t>PuVVNL</t>
        </is>
      </c>
      <c r="B60" s="7" t="inlineStr">
        <is>
          <t>CHANDAULI</t>
        </is>
      </c>
      <c r="C60" s="7" t="inlineStr">
        <is>
          <t>VARANASI-2</t>
        </is>
      </c>
    </row>
    <row r="61">
      <c r="A61" s="7" t="inlineStr">
        <is>
          <t>PuVVNL</t>
        </is>
      </c>
      <c r="B61" s="7" t="inlineStr">
        <is>
          <t>DEORIA</t>
        </is>
      </c>
      <c r="C61" s="7" t="inlineStr">
        <is>
          <t>GORAKHPUR-2</t>
        </is>
      </c>
    </row>
    <row r="62">
      <c r="A62" s="7" t="inlineStr">
        <is>
          <t>PuVVNL</t>
        </is>
      </c>
      <c r="B62" s="7" t="inlineStr">
        <is>
          <t>FATEHPUR</t>
        </is>
      </c>
      <c r="C62" s="7" t="inlineStr">
        <is>
          <t>PRAYAGRAJ-2</t>
        </is>
      </c>
    </row>
    <row r="63">
      <c r="A63" s="7" t="inlineStr">
        <is>
          <t>PuVVNL</t>
        </is>
      </c>
      <c r="B63" s="7" t="inlineStr">
        <is>
          <t>GHAZIPUR</t>
        </is>
      </c>
      <c r="C63" s="7" t="inlineStr">
        <is>
          <t>VARANASI-2</t>
        </is>
      </c>
    </row>
    <row r="64">
      <c r="A64" s="7" t="inlineStr">
        <is>
          <t>PuVVNL</t>
        </is>
      </c>
      <c r="B64" s="7" t="inlineStr">
        <is>
          <t>GORAKHPUR</t>
        </is>
      </c>
      <c r="C64" s="7" t="inlineStr">
        <is>
          <t>GORAKHPUR-1</t>
        </is>
      </c>
    </row>
    <row r="65">
      <c r="A65" s="7" t="inlineStr">
        <is>
          <t>PuVVNL</t>
        </is>
      </c>
      <c r="B65" s="7" t="inlineStr">
        <is>
          <t>JAUNPUR</t>
        </is>
      </c>
      <c r="C65" s="7" t="inlineStr">
        <is>
          <t>VARANASI-2</t>
        </is>
      </c>
    </row>
    <row r="66">
      <c r="A66" s="7" t="inlineStr">
        <is>
          <t>PuVVNL</t>
        </is>
      </c>
      <c r="B66" s="7" t="inlineStr">
        <is>
          <t>KAUSHAMBI</t>
        </is>
      </c>
      <c r="C66" s="7" t="inlineStr">
        <is>
          <t>PRAYAGRAJ-2</t>
        </is>
      </c>
    </row>
    <row r="67">
      <c r="A67" s="7" t="inlineStr">
        <is>
          <t>PuVVNL</t>
        </is>
      </c>
      <c r="B67" s="7" t="inlineStr">
        <is>
          <t>KUSHINAGAR</t>
        </is>
      </c>
      <c r="C67" s="7" t="inlineStr">
        <is>
          <t>GORAKHPUR-2</t>
        </is>
      </c>
    </row>
    <row r="68">
      <c r="A68" s="7" t="inlineStr">
        <is>
          <t>PuVVNL</t>
        </is>
      </c>
      <c r="B68" s="7" t="inlineStr">
        <is>
          <t>MAHARAJGANJ</t>
        </is>
      </c>
      <c r="C68" s="7" t="inlineStr">
        <is>
          <t>GORAKHPUR-2</t>
        </is>
      </c>
    </row>
    <row r="69">
      <c r="A69" s="7" t="inlineStr">
        <is>
          <t>PuVVNL</t>
        </is>
      </c>
      <c r="B69" s="7" t="inlineStr">
        <is>
          <t>MAU</t>
        </is>
      </c>
      <c r="C69" s="7" t="inlineStr">
        <is>
          <t>AZAMGARH</t>
        </is>
      </c>
    </row>
    <row r="70">
      <c r="A70" s="7" t="inlineStr">
        <is>
          <t>PuVVNL</t>
        </is>
      </c>
      <c r="B70" s="7" t="inlineStr">
        <is>
          <t>MIRZAPUR</t>
        </is>
      </c>
      <c r="C70" s="7" t="inlineStr">
        <is>
          <t>MIRZAPUR</t>
        </is>
      </c>
    </row>
    <row r="71">
      <c r="A71" s="7" t="inlineStr">
        <is>
          <t>PuVVNL</t>
        </is>
      </c>
      <c r="B71" s="7" t="inlineStr">
        <is>
          <t>PRATAPGARH</t>
        </is>
      </c>
      <c r="C71" s="7" t="inlineStr">
        <is>
          <t>PRAYAGRAJ-2</t>
        </is>
      </c>
    </row>
    <row r="72">
      <c r="A72" s="7" t="inlineStr">
        <is>
          <t>PuVVNL</t>
        </is>
      </c>
      <c r="B72" s="7" t="inlineStr">
        <is>
          <t>PRAYAGRAJ</t>
        </is>
      </c>
      <c r="C72" s="7" t="inlineStr">
        <is>
          <t>PRAYAGRAJ-1</t>
        </is>
      </c>
    </row>
    <row r="73">
      <c r="A73" s="7" t="inlineStr">
        <is>
          <t>PuVVNL</t>
        </is>
      </c>
      <c r="B73" s="7" t="inlineStr">
        <is>
          <t>SANT KABIR NAGAR</t>
        </is>
      </c>
      <c r="C73" s="7" t="inlineStr">
        <is>
          <t>BASTI</t>
        </is>
      </c>
    </row>
    <row r="74">
      <c r="A74" s="7" t="inlineStr">
        <is>
          <t>PuVVNL</t>
        </is>
      </c>
      <c r="B74" s="7" t="inlineStr">
        <is>
          <t>SIDDHARTH NAGAR</t>
        </is>
      </c>
      <c r="C74" s="7" t="inlineStr">
        <is>
          <t>BASTI</t>
        </is>
      </c>
    </row>
    <row r="75">
      <c r="A75" s="7" t="inlineStr">
        <is>
          <t>PuVVNL</t>
        </is>
      </c>
      <c r="B75" s="7" t="inlineStr">
        <is>
          <t>SONBHADRA</t>
        </is>
      </c>
      <c r="C75" s="7" t="inlineStr">
        <is>
          <t>MIRZAPUR</t>
        </is>
      </c>
    </row>
    <row r="76">
      <c r="A76" s="7" t="inlineStr">
        <is>
          <t>PuVVNL</t>
        </is>
      </c>
      <c r="B76" s="7" t="inlineStr">
        <is>
          <t>VARANASI</t>
        </is>
      </c>
      <c r="C76" s="7" t="inlineStr">
        <is>
          <t>VARANASI-1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</cols>
  <sheetData>
    <row r="1">
      <c r="A1" s="8" t="inlineStr">
        <is>
          <t>SETTING_KEY</t>
        </is>
      </c>
      <c r="B1" s="8" t="inlineStr">
        <is>
          <t>VALUE</t>
        </is>
      </c>
      <c r="C1" s="8" t="inlineStr">
        <is>
          <t>DESCRIPTION</t>
        </is>
      </c>
    </row>
    <row r="2">
      <c r="A2" s="7" t="inlineStr">
        <is>
          <t>EMERGENCY_STOP</t>
        </is>
      </c>
      <c r="B2" s="7" t="inlineStr">
        <is>
          <t>FALSE</t>
        </is>
      </c>
      <c r="C2" s="7" t="inlineStr">
        <is>
          <t>Global kill-switch. When TRUE, no polling or replies run.</t>
        </is>
      </c>
    </row>
    <row r="3">
      <c r="A3" s="7" t="inlineStr">
        <is>
          <t>AUTO_POST_ENABLED</t>
        </is>
      </c>
      <c r="B3" s="7" t="inlineStr">
        <is>
          <t>FALSE</t>
        </is>
      </c>
      <c r="C3" s="7" t="inlineStr">
        <is>
          <t>When FALSE, replies only draft and require manual approval.</t>
        </is>
      </c>
    </row>
    <row r="4">
      <c r="A4" s="7" t="inlineStr">
        <is>
          <t>DAILY_POST_CAP</t>
        </is>
      </c>
      <c r="B4" s="7" t="inlineStr">
        <is>
          <t>50</t>
        </is>
      </c>
      <c r="C4" s="7" t="inlineStr">
        <is>
          <t>Maximum automated replies permitted per calendar day.</t>
        </is>
      </c>
    </row>
    <row r="5">
      <c r="A5" s="7" t="inlineStr">
        <is>
          <t>POLLING_INTERVAL_MINS</t>
        </is>
      </c>
      <c r="B5" s="7" t="inlineStr">
        <is>
          <t>5</t>
        </is>
      </c>
      <c r="C5" s="7" t="inlineStr">
        <is>
          <t>Frequency of background post monitoring cycles.</t>
        </is>
      </c>
    </row>
    <row r="6">
      <c r="A6" s="7" t="inlineStr">
        <is>
          <t>ALLOWED_DISCOMS</t>
        </is>
      </c>
      <c r="B6" s="7" t="inlineStr">
        <is>
          <t>@PVVNLHQ, @dvvnlhq, @PuVVNLHQ, @KESCoHQ, @MVVNLHQ</t>
        </is>
      </c>
      <c r="C6" s="7" t="inlineStr">
        <is>
          <t>Safety allowlist of receiving handles.</t>
        </is>
      </c>
    </row>
    <row r="7">
      <c r="A7" s="7" t="inlineStr">
        <is>
          <t>MONITORED_APEX</t>
        </is>
      </c>
      <c r="B7" s="7" t="inlineStr">
        <is>
          <t>@UPPCLLKO, @EMofficeUP, @AKSharmaOffice, @aksharmaBharat, @ChairmanUppcl, @mduppcl</t>
        </is>
      </c>
      <c r="C7" s="7" t="inlineStr">
        <is>
          <t>Monitored accounts.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>
      <c r="A1" s="9" t="inlineStr">
        <is>
          <t>UPPCL X COMPLAINT MONITORING DASHBOARD (TRIAL)</t>
        </is>
      </c>
    </row>
    <row r="2">
      <c r="A2" s="10" t="inlineStr">
        <is>
          <t>Metric</t>
        </is>
      </c>
      <c r="B2" s="10" t="inlineStr">
        <is>
          <t>Value</t>
        </is>
      </c>
      <c r="C2" s="10" t="inlineStr">
        <is>
          <t>Source / Category</t>
        </is>
      </c>
    </row>
    <row r="3">
      <c r="A3" s="7" t="inlineStr">
        <is>
          <t>Total Complaints Recorded</t>
        </is>
      </c>
      <c r="B3" s="7">
        <f>COUNTA('Twitter Complaint List'!E3:E100)</f>
        <v/>
      </c>
      <c r="C3" s="7" t="inlineStr">
        <is>
          <t>Active post links count</t>
        </is>
      </c>
    </row>
    <row r="4">
      <c r="A4" s="7" t="inlineStr">
        <is>
          <t>Supply Outages</t>
        </is>
      </c>
      <c r="B4" s="7">
        <f>COUNTIF('Twitter Complaint List'!J3:J100, "SUPPLY_OUTAGE")</f>
        <v/>
      </c>
      <c r="C4" s="7" t="inlineStr">
        <is>
          <t>SUPPLY_OUTAGE</t>
        </is>
      </c>
    </row>
    <row r="5">
      <c r="A5" s="7" t="inlineStr">
        <is>
          <t>Transformer Damage</t>
        </is>
      </c>
      <c r="B5" s="7">
        <f>COUNTIF('Twitter Complaint List'!J3:J100, "TRANSFORMER_DAMAGE")</f>
        <v/>
      </c>
      <c r="C5" s="7" t="inlineStr">
        <is>
          <t>TRANSFORMER_DAMAGE</t>
        </is>
      </c>
    </row>
    <row r="6">
      <c r="A6" s="7" t="inlineStr">
        <is>
          <t>Billing Issues</t>
        </is>
      </c>
      <c r="B6" s="7">
        <f>COUNTIF('Twitter Complaint List'!J3:J100, "BILL_RELATED")</f>
        <v/>
      </c>
      <c r="C6" s="7" t="inlineStr">
        <is>
          <t>BILL_RELATED</t>
        </is>
      </c>
    </row>
    <row r="7">
      <c r="A7" s="7" t="inlineStr">
        <is>
          <t>Voltage Fluctuations</t>
        </is>
      </c>
      <c r="B7" s="7">
        <f>COUNTIF('Twitter Complaint List'!J3:J100, "SUPPLY_VOLTAGE")</f>
        <v/>
      </c>
      <c r="C7" s="7" t="inlineStr">
        <is>
          <t>SUPPLY_VOLTAGE</t>
        </is>
      </c>
    </row>
    <row r="8">
      <c r="A8" s="7" t="inlineStr">
        <is>
          <t>New Connection Issues</t>
        </is>
      </c>
      <c r="B8" s="7">
        <f>COUNTIF('Twitter Complaint List'!J3:J100, "CONNECTION_NEW")</f>
        <v/>
      </c>
      <c r="C8" s="7" t="inlineStr">
        <is>
          <t>CONNECTION_NEW</t>
        </is>
      </c>
    </row>
    <row r="9">
      <c r="A9" s="7" t="inlineStr">
        <is>
          <t>MVVNL Complaints</t>
        </is>
      </c>
      <c r="B9" s="7">
        <f>COUNTIF('Twitter Complaint List'!K3:K100, "MVVNL")</f>
        <v/>
      </c>
      <c r="C9" s="7" t="inlineStr">
        <is>
          <t>Central UP</t>
        </is>
      </c>
    </row>
    <row r="10">
      <c r="A10" s="7" t="inlineStr">
        <is>
          <t>PVVNL Complaints</t>
        </is>
      </c>
      <c r="B10" s="7">
        <f>COUNTIF('Twitter Complaint List'!K3:K100, "PVVNL")</f>
        <v/>
      </c>
      <c r="C10" s="7" t="inlineStr">
        <is>
          <t>Western UP</t>
        </is>
      </c>
    </row>
    <row r="11">
      <c r="A11" s="7" t="inlineStr">
        <is>
          <t>PuVVNL Complaints</t>
        </is>
      </c>
      <c r="B11" s="7">
        <f>COUNTIF('Twitter Complaint List'!K3:K100, "PuVVNL")</f>
        <v/>
      </c>
      <c r="C11" s="7" t="inlineStr">
        <is>
          <t>Eastern UP</t>
        </is>
      </c>
    </row>
    <row r="12">
      <c r="A12" s="7" t="inlineStr">
        <is>
          <t>DVVNL Complaints</t>
        </is>
      </c>
      <c r="B12" s="7">
        <f>COUNTIF('Twitter Complaint List'!K3:K100, "DVVNL")</f>
        <v/>
      </c>
      <c r="C12" s="7" t="inlineStr">
        <is>
          <t>Southern UP</t>
        </is>
      </c>
    </row>
    <row r="13">
      <c r="A13" s="7" t="inlineStr">
        <is>
          <t>KESCo Complaints</t>
        </is>
      </c>
      <c r="B13" s="7">
        <f>COUNTIF('Twitter Complaint List'!K3:K100, "KESCO")</f>
        <v/>
      </c>
      <c r="C13" s="7" t="inlineStr">
        <is>
          <t>Kanpur City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2026-10-19T07:28:30Z</dcterms:created>
  <dcterms:modified xsi:type="dcterms:W3CDTF">2026-10-19T07:28:30Z</dcterms:modified>
</cp:coreProperties>
</file>